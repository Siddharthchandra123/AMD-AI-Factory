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6ec1204dd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0aecac190064471"/>
    <x:sheet xmlns:r="http://schemas.openxmlformats.org/officeDocument/2006/relationships" name="Real Run Index" sheetId="2" r:id="Ree6f58896f5a4257"/>
    <x:sheet xmlns:r="http://schemas.openxmlformats.org/officeDocument/2006/relationships" name="Optimization" sheetId="3" r:id="Rb1e0f15708954b84"/>
    <x:sheet xmlns:r="http://schemas.openxmlformats.org/officeDocument/2006/relationships" name="16 Job Trace" sheetId="4" r:id="R068c2c3df912440a"/>
    <x:sheet xmlns:r="http://schemas.openxmlformats.org/officeDocument/2006/relationships" name="Latency Profiler" sheetId="5" r:id="R08c6c1f7ae2549a8"/>
    <x:sheet xmlns:r="http://schemas.openxmlformats.org/officeDocument/2006/relationships" name="Metric Dictionary" sheetId="6" r:id="Re82525763d104159"/>
    <x:sheet xmlns:r="http://schemas.openxmlformats.org/officeDocument/2006/relationships" name="Chart Data" sheetId="7" r:id="R75f4bae745ac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"/>
  </x:numFmts>
  <x:fonts count="4">
    <x:font>
      <x:sz val="11"/>
      <x:name val="Carlito"/>
    </x:font>
    <x:font>
      <x:b/>
      <x:sz val="17"/>
      <x:color rgb="FFFFFFFF"/>
      <x:name val="Carlito"/>
    </x:font>
    <x:font>
      <x:sz val="10"/>
      <x:color rgb="FF19273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63C"/>
      </x:patternFill>
    </x:fill>
    <x:fill>
      <x:patternFill patternType="solid">
        <x:fgColor rgb="FFDFF4F8"/>
      </x:patternFill>
    </x:fill>
    <x:fill>
      <x:patternFill patternType="solid">
        <x:fgColor rgb="FF176B92"/>
      </x:patternFill>
    </x:fill>
    <x:fill>
      <x:patternFill patternType="solid">
        <x:fgColor rgb="FFEDF4F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5" borderId="0" xfId="0" applyNumberFormat="1" applyFont="1" applyFill="1" applyBorder="1"/>
    <x:xf numFmtId="202" fontId="0" fillId="0" borderId="1" xfId="0" applyNumberFormat="1" applyFont="1" applyFill="1" applyBorder="1"/>
    <x:xf numFmtId="202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360a9cd9a4c26" /><Relationship Type="http://schemas.openxmlformats.org/officeDocument/2006/relationships/theme" Target="/xl/theme/theme1.xml" Id="Rb7a5ce7e4b954e4a" /><Relationship Type="http://schemas.openxmlformats.org/officeDocument/2006/relationships/sharedStrings" Target="/xl/sharedStrings.xml" Id="Re6365a7e447849b9" /><Relationship Type="http://schemas.openxmlformats.org/officeDocument/2006/relationships/worksheet" Target="/xl/worksheets/sheet1.xml" Id="Rb0aecac190064471" /><Relationship Type="http://schemas.openxmlformats.org/officeDocument/2006/relationships/worksheet" Target="/xl/worksheets/sheet2.xml" Id="Ree6f58896f5a4257" /><Relationship Type="http://schemas.openxmlformats.org/officeDocument/2006/relationships/worksheet" Target="/xl/worksheets/sheet3.xml" Id="Rb1e0f15708954b84" /><Relationship Type="http://schemas.openxmlformats.org/officeDocument/2006/relationships/worksheet" Target="/xl/worksheets/sheet4.xml" Id="R068c2c3df912440a" /><Relationship Type="http://schemas.openxmlformats.org/officeDocument/2006/relationships/worksheet" Target="/xl/worksheets/sheet5.xml" Id="R08c6c1f7ae2549a8" /><Relationship Type="http://schemas.openxmlformats.org/officeDocument/2006/relationships/worksheet" Target="/xl/worksheets/sheet6.xml" Id="Re82525763d104159" /><Relationship Type="http://schemas.openxmlformats.org/officeDocument/2006/relationships/worksheet" Target="/xl/worksheets/sheet7.xml" Id="R75f4bae745ac47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c99e6749364c7a" /><Relationship Type="http://schemas.openxmlformats.org/officeDocument/2006/relationships/chart" Target="/xl/drawings/charts/chart2.xml" Id="R115396befef04c8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p95 Queue</c:v>
          </c:tx>
          <c:cat>
            <c:strRef>
              <c:f>'Chart Data'!$A$5:$A$8</c:f>
              <c:strCache>
                <c:ptCount val="0"/>
              </c:strCache>
            </c:strRef>
          </c:cat>
          <c:val>
            <c:numRef>
              <c:f>'Chart Data'!$B$5:$B$8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p95 E2E</c:v>
          </c:tx>
          <c:cat>
            <c:strRef>
              <c:f>'Chart Data'!$A$5:$A$8</c:f>
              <c:strCache>
                <c:ptCount val="0"/>
              </c:strCache>
            </c:strRef>
          </c:cat>
          <c:val>
            <c:numRef>
              <c:f>'Chart Data'!$C$5:$C$8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Output tok/s</c:v>
          </c:tx>
          <c:cat>
            <c:strRef>
              <c:f>'Chart Data'!$A$6:$A$8</c:f>
              <c:strCache>
                <c:ptCount val="0"/>
              </c:strCache>
            </c:strRef>
          </c:cat>
          <c:val>
            <c:numRef>
              <c:f>'Chart Data'!$E$6:$E$8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c99e6749364c7a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5396befef04c8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10da00c3a54461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9" hidden="0" customWidth="1"/>
    <x:col min="3" max="3" width="88" hidden="0" customWidth="1"/>
  </x:cols>
  <x:sheetData>
    <x:row r="1" ht="36" customHeight="1">
      <x:c r="A1" s="4" t="str">
        <x:v>AMD AI FACTORY | BENCHMARK ATLAS</x:v>
      </x:c>
      <x:c r="B1" s="4"/>
      <x:c r="C1" s="4"/>
      <x:c r="D1" s="4"/>
      <x:c r="E1" s="4"/>
      <x:c r="F1" s="4"/>
      <x:c r="G1" s="4"/>
    </x:row>
    <x:row r="2" ht="27" customHeight="1">
      <x:c r="A2" s="9" t="str">
        <x:v>Evidence preview | Compiled from documented results supplied in conversation | 27 Oct 2026</x:v>
      </x:c>
      <x:c r="B2" s="9"/>
      <x:c r="C2" s="9"/>
      <x:c r="D2" s="9"/>
      <x:c r="E2" s="9"/>
      <x:c r="F2" s="9"/>
      <x:c r="G2" s="9"/>
    </x:row>
    <x:row r="4" ht="26" customHeight="1">
      <x:c r="A4" s="13" t="str">
        <x:v>Item</x:v>
      </x:c>
      <x:c r="B4" s="13" t="str">
        <x:v>Information</x:v>
      </x:c>
      <x:c r="C4" s="13" t="str">
        <x:v>Scope / caution</x:v>
      </x:c>
    </x:row>
    <x:row r="5">
      <x:c r="A5" t="str">
        <x:v>Status</x:v>
      </x:c>
      <x:c r="B5" t="str">
        <x:v>PREVIEW / PARTIAL</x:v>
      </x:c>
      <x:c r="C5" t="str">
        <x:v>Complete Windows archive was not attached; run local Atlas generator for exhaustive indexing.</x:v>
      </x:c>
    </x:row>
    <x:row r="6">
      <x:c r="A6" s="16" t="str">
        <x:v>Real hardware</x:v>
      </x:c>
      <x:c r="B6" s="16" t="str">
        <x:v>1 AMD Instinct MI300X serving endpoint</x:v>
      </x:c>
      <x:c r="C6" s="16" t="str">
        <x:v>Single serving endpoint with configured maximum concurrency of two.</x:v>
      </x:c>
    </x:row>
    <x:row r="7">
      <x:c r="A7" t="str">
        <x:v>Model</x:v>
      </x:c>
      <x:c r="B7" t="str">
        <x:v>Qwen/Qwen3-0.6B</x:v>
      </x:c>
      <x:c r="C7" t="str">
        <x:v>Generation limit 96 tokens in the reported load runs.</x:v>
      </x:c>
    </x:row>
    <x:row r="8">
      <x:c r="A8" s="16" t="str">
        <x:v>Real result source</x:v>
      </x:c>
      <x:c r="B8" s="16" t="str">
        <x:v>4 documented benchmark summaries</x:v>
      </x:c>
      <x:c r="C8" s="16" t="str">
        <x:v>Original run-level jobs / telemetry files live on user Windows PC.</x:v>
      </x:c>
    </x:row>
    <x:row r="9">
      <x:c r="A9" t="str">
        <x:v>Job trace source</x:v>
      </x:c>
      <x:c r="B9" t="str">
        <x:v>16-job dispatch timeline</x:v>
      </x:c>
      <x:c r="C9" t="str">
        <x:v>16 timing rows reconstructed from shared test output.</x:v>
      </x:c>
    </x:row>
    <x:row r="10">
      <x:c r="A10" s="16" t="str">
        <x:v>Profiler source</x:v>
      </x:c>
      <x:c r="B10" s="16" t="str">
        <x:v>3-path, 3-trial summary</x:v>
      </x:c>
      <x:c r="C10" s="16" t="str">
        <x:v>Raw profiler requests.csv not attached; medians/p95 supplied in conversation.</x:v>
      </x:c>
    </x:row>
    <x:row r="11">
      <x:c r="A11" t="str">
        <x:v>Metric distinction</x:v>
      </x:c>
      <x:c r="B11" t="str">
        <x:v>v0.3 legacy vs v2</x:v>
      </x:c>
      <x:c r="C11" t="str">
        <x:v>Legacy 4-job throughput used makespan denominator, not v2 client wall time.</x:v>
      </x:c>
    </x:row>
    <x:row r="12">
      <x:c r="A12" s="16" t="str">
        <x:v>Observability</x:v>
      </x:c>
      <x:c r="B12" s="16" t="str">
        <x:v>HBM = sparse snapshots</x:v>
      </x:c>
      <x:c r="C12" s="16" t="str">
        <x:v>Recorded 46.885 GiB is not hardware peak.</x:v>
      </x:c>
    </x:row>
    <x:row r="13">
      <x:c r="A13" t="str">
        <x:v>Statistical claims</x:v>
      </x:c>
      <x:c r="B13" t="str">
        <x:v>Descriptive, not inferential</x:v>
      </x:c>
      <x:c r="C13" t="str">
        <x:v>One pre/post run alone cannot establish reproducible improvement.</x:v>
      </x:c>
    </x:row>
    <x:row r="14">
      <x:c r="A14" s="16" t="str">
        <x:v>Missing datasets</x:v>
      </x:c>
      <x:c r="B14" s="16" t="str">
        <x:v>Other v2_* runs; Scheduler Lab; Reliability; Monitoring</x:v>
      </x:c>
      <x:c r="C14" s="16" t="str">
        <x:v>Offline CLI reads them directly from results/ on Windows.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9" hidden="0" customWidth="1"/>
    <x:col min="4" max="4" width="12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20" hidden="0" customWidth="1"/>
    <x:col min="14" max="14" width="23" hidden="0" customWidth="1"/>
    <x:col min="15" max="15" width="22" hidden="0" customWidth="1"/>
    <x:col min="16" max="16" width="85" hidden="0" customWidth="1"/>
  </x:cols>
  <x:sheetData>
    <x:row r="1" ht="36" customHeight="1">
      <x:c r="A1" s="4" t="str">
        <x:v>REAL MI300X | PERFORMANCE RUN INDEX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7" customHeight="1">
      <x:c r="A2" s="9" t="str">
        <x:v>v0.3 legacy + v2 evidence | All values as documented, no filled missing metrics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 ht="26" customHeight="1">
      <x:c r="A4" s="13" t="str">
        <x:v>Run</x:v>
      </x:c>
      <x:c r="B4" s="13" t="str">
        <x:v>Phase</x:v>
      </x:c>
      <x:c r="C4" s="13" t="str">
        <x:v>Jobs</x:v>
      </x:c>
      <x:c r="D4" s="13" t="str">
        <x:v>Completed</x:v>
      </x:c>
      <x:c r="E4" s="13" t="str">
        <x:v>Failed</x:v>
      </x:c>
      <x:c r="F4" s="13" t="str">
        <x:v>Queue p50 s</x:v>
      </x:c>
      <x:c r="G4" s="13" t="str">
        <x:v>Queue p95 s</x:v>
      </x:c>
      <x:c r="H4" s="13" t="str">
        <x:v>Infer p50 s</x:v>
      </x:c>
      <x:c r="I4" s="13" t="str">
        <x:v>Infer p95 s</x:v>
      </x:c>
      <x:c r="J4" s="13" t="str">
        <x:v>E2E p50 s</x:v>
      </x:c>
      <x:c r="K4" s="13" t="str">
        <x:v>E2E p95 s</x:v>
      </x:c>
      <x:c r="L4" s="13" t="str">
        <x:v>Client wall s</x:v>
      </x:c>
      <x:c r="M4" s="13" t="str">
        <x:v>Controller span s</x:v>
      </x:c>
      <x:c r="N4" s="13" t="str">
        <x:v>Throughput tok/s</x:v>
      </x:c>
      <x:c r="O4" s="13" t="str">
        <x:v>Polled HBM GiB</x:v>
      </x:c>
      <x:c r="P4" s="13" t="str">
        <x:v>Methodology note</x:v>
      </x:c>
    </x:row>
    <x:row r="5">
      <x:c r="A5" t="str">
        <x:v>4 jobs: initial v0.3</x:v>
      </x:c>
      <x:c r="B5" t="str">
        <x:v>Original</x:v>
      </x:c>
      <x:c r="C5" t="n">
        <x:v>4</x:v>
      </x:c>
      <x:c r="D5" t="n">
        <x:v>4</x:v>
      </x:c>
      <x:c r="E5" t="n">
        <x:v>0</x:v>
      </x:c>
      <x:c r="F5" s="18"/>
      <x:c r="G5" s="18"/>
      <x:c r="H5" s="18" t="n">
        <x:v>0.2189</x:v>
      </x:c>
      <x:c r="I5" s="18" t="n">
        <x:v>0.2326</x:v>
      </x:c>
      <x:c r="J5" s="18"/>
      <x:c r="K5" s="18"/>
      <x:c r="L5" s="18"/>
      <x:c r="M5" s="18" t="n">
        <x:v>12.335</x:v>
      </x:c>
      <x:c r="N5" s="18" t="n">
        <x:v>31.131</x:v>
      </x:c>
      <x:c r="O5" s="18"/>
      <x:c r="P5" t="str">
        <x:v>Original script, throughput normalized to reported makespan; not the v2 client throughput metric.</x:v>
      </x:c>
    </x:row>
    <x:row r="6">
      <x:c r="A6" s="16" t="str">
        <x:v>8 jobs: before v0.5</x:v>
      </x:c>
      <x:c r="B6" s="16" t="str">
        <x:v>v2 before patch</x:v>
      </x:c>
      <x:c r="C6" s="16" t="n">
        <x:v>8</x:v>
      </x:c>
      <x:c r="D6" s="16" t="n">
        <x:v>8</x:v>
      </x:c>
      <x:c r="E6" s="16" t="n">
        <x:v>0</x:v>
      </x:c>
      <x:c r="F6" s="19" t="n">
        <x:v>7.3965</x:v>
      </x:c>
      <x:c r="G6" s="19" t="n">
        <x:v>11.2829</x:v>
      </x:c>
      <x:c r="H6" s="19" t="n">
        <x:v>0.1936</x:v>
      </x:c>
      <x:c r="I6" s="19" t="n">
        <x:v>0.2073</x:v>
      </x:c>
      <x:c r="J6" s="19" t="n">
        <x:v>8.7676</x:v>
      </x:c>
      <x:c r="K6" s="19" t="n">
        <x:v>12.7369</x:v>
      </x:c>
      <x:c r="L6" s="19" t="n">
        <x:v>15.4817</x:v>
      </x:c>
      <x:c r="M6" s="19" t="n">
        <x:v>12.9147</x:v>
      </x:c>
      <x:c r="N6" s="19" t="n">
        <x:v>49.607</x:v>
      </x:c>
      <x:c r="O6" s="19" t="n">
        <x:v>46.885</x:v>
      </x:c>
      <x:c r="P6" s="16" t="str">
        <x:v>v2, real MI300X, before scheduler loop decoupling.</x:v>
      </x:c>
    </x:row>
    <x:row r="7">
      <x:c r="A7" t="str">
        <x:v>8 jobs: after v0.5</x:v>
      </x:c>
      <x:c r="B7" t="str">
        <x:v>v2 optimized</x:v>
      </x:c>
      <x:c r="C7" t="n">
        <x:v>8</x:v>
      </x:c>
      <x:c r="D7" t="n">
        <x:v>8</x:v>
      </x:c>
      <x:c r="E7" t="n">
        <x:v>0</x:v>
      </x:c>
      <x:c r="F7" s="18" t="n">
        <x:v>2.51</x:v>
      </x:c>
      <x:c r="G7" s="18" t="n">
        <x:v>4.6745</x:v>
      </x:c>
      <x:c r="H7" s="18" t="n">
        <x:v>0.1948</x:v>
      </x:c>
      <x:c r="I7" s="18" t="n">
        <x:v>0.211</x:v>
      </x:c>
      <x:c r="J7" s="18" t="n">
        <x:v>3.7474</x:v>
      </x:c>
      <x:c r="K7" s="18" t="n">
        <x:v>5.8264</x:v>
      </x:c>
      <x:c r="L7" s="18" t="n">
        <x:v>11.0248</x:v>
      </x:c>
      <x:c r="M7" s="18" t="n">
        <x:v>5.9227</x:v>
      </x:c>
      <x:c r="N7" s="18" t="n">
        <x:v>69.661</x:v>
      </x:c>
      <x:c r="O7" s="18" t="n">
        <x:v>46.885</x:v>
      </x:c>
      <x:c r="P7" t="str">
        <x:v>v2, real MI300X, after scheduler loop decoupling.</x:v>
      </x:c>
    </x:row>
    <x:row r="8">
      <x:c r="A8" s="16" t="str">
        <x:v>16 jobs: after v0.5</x:v>
      </x:c>
      <x:c r="B8" s="16" t="str">
        <x:v>v2 load test</x:v>
      </x:c>
      <x:c r="C8" s="16" t="n">
        <x:v>16</x:v>
      </x:c>
      <x:c r="D8" s="16" t="n">
        <x:v>16</x:v>
      </x:c>
      <x:c r="E8" s="16" t="n">
        <x:v>0</x:v>
      </x:c>
      <x:c r="F8" s="19" t="n">
        <x:v>7.393</x:v>
      </x:c>
      <x:c r="G8" s="19" t="n">
        <x:v>13.7397</x:v>
      </x:c>
      <x:c r="H8" s="19" t="n">
        <x:v>0.1968</x:v>
      </x:c>
      <x:c r="I8" s="19" t="n">
        <x:v>0.2132</x:v>
      </x:c>
      <x:c r="J8" s="19" t="n">
        <x:v>9.1273</x:v>
      </x:c>
      <x:c r="K8" s="19" t="n">
        <x:v>15.3572</x:v>
      </x:c>
      <x:c r="L8" s="19" t="n">
        <x:v>20.296</x:v>
      </x:c>
      <x:c r="M8" s="19" t="n">
        <x:v>15.5309</x:v>
      </x:c>
      <x:c r="N8" s="19" t="n">
        <x:v>75.68</x:v>
      </x:c>
      <x:c r="O8" s="19" t="n">
        <x:v>46.885</x:v>
      </x:c>
      <x:c r="P8" s="16" t="str">
        <x:v>v2, single worker with concurrency=2.</x:v>
      </x:c>
    </x:row>
  </x:sheetData>
  <x:mergeCells>
    <x:mergeCell ref="A1:P1"/>
    <x:mergeCell ref="A2:P2"/>
  </x:mergeCells>
  <x:conditionalFormatting sqref="E5:E8">
    <x:cfRule type="dataBar" priority="1">
      <x:dataBar>
        <x:cfvo type="min"/>
        <x:cfvo type="max"/>
        <x:color rgb="FFB5524A"/>
      </x:dataBar>
      <x:extLst>
        <x:ext xmlns:x14="http://schemas.microsoft.com/office/spreadsheetml/2009/9/main" uri="{B025F937-C7B1-47D3-B67F-A62EFF666E3E}">
          <x14:id>{8A525BFF-C949-EDEE-8554-BB984DBB26BC}</x14:id>
        </x:ext>
      </x:extLst>
    </x:cfRule>
  </x:conditionalFormatting>
  <x:conditionalFormatting sqref="N5:N8">
    <x:cfRule type="dataBar" priority="2">
      <x:dataBar>
        <x:cfvo type="min"/>
        <x:cfvo type="max"/>
        <x:color rgb="FF52A9BC"/>
      </x:dataBar>
      <x:extLst>
        <x:ext xmlns:x14="http://schemas.microsoft.com/office/spreadsheetml/2009/9/main" uri="{B025F937-C7B1-47D3-B67F-A62EFF666E3E}">
          <x14:id>{2B564431-8EFC-EEA3-FABE-DA64DE1BC1DE}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A525BFF-C949-EDEE-8554-BB984DBB26BC}">
            <x14:dataBar gradient="1">
              <x14:cfvo type="min"/>
              <x14:cfvo type="max"/>
              <x14:fillColor rgb="FFB5524A"/>
            </x14:dataBar>
          </x14:cfRule>
          <xm:sqref>E5:E8</xm:sqref>
        </x14:conditionalFormatting>
        <x14:conditionalFormatting>
          <x14:cfRule type="dataBar" priority="2" id="{2B564431-8EFC-EEA3-FABE-DA64DE1BC1DE}">
            <x14:dataBar gradient="1">
              <x14:cfvo type="min"/>
              <x14:cfvo type="max"/>
              <x14:fillColor rgb="FF52A9BC"/>
            </x14:dataBar>
          </x14:cfRule>
          <xm:sqref>N5:N8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5" hidden="0" customWidth="1"/>
    <x:col min="5" max="5" width="50" hidden="0" customWidth="1"/>
  </x:cols>
  <x:sheetData>
    <x:row r="1" ht="36" customHeight="1">
      <x:c r="A1" s="4" t="str">
        <x:v>8-JOB OPTIMIZATION | BEFORE AND AFTER</x:v>
      </x:c>
      <x:c r="B1" s="4"/>
      <x:c r="C1" s="4"/>
      <x:c r="D1" s="4"/>
      <x:c r="E1" s="4"/>
      <x:c r="F1" s="4"/>
      <x:c r="G1" s="4"/>
    </x:row>
    <x:row r="2" ht="27" customHeight="1">
      <x:c r="A2" s="9" t="str">
        <x:v>Same reported model and job count; single trial per version, not statistical proof</x:v>
      </x:c>
      <x:c r="B2" s="9"/>
      <x:c r="C2" s="9"/>
      <x:c r="D2" s="9"/>
      <x:c r="E2" s="9"/>
      <x:c r="F2" s="9"/>
      <x:c r="G2" s="9"/>
    </x:row>
    <x:row r="4" ht="26" customHeight="1">
      <x:c r="A4" s="13" t="str">
        <x:v>Metric</x:v>
      </x:c>
      <x:c r="B4" s="13" t="str">
        <x:v>Before v0.5</x:v>
      </x:c>
      <x:c r="C4" s="13" t="str">
        <x:v>After v0.5</x:v>
      </x:c>
      <x:c r="D4" s="13" t="str">
        <x:v>Improvement %</x:v>
      </x:c>
      <x:c r="E4" s="13" t="str">
        <x:v>Interpretation</x:v>
      </x:c>
    </x:row>
    <x:row r="5">
      <x:c r="A5" t="str">
        <x:v>p50 queue wait (s)</x:v>
      </x:c>
      <x:c r="B5" s="22" t="n">
        <x:v>7.3965</x:v>
      </x:c>
      <x:c r="C5" s="22" t="n">
        <x:v>2.51</x:v>
      </x:c>
      <x:c r="D5" s="22" t="n">
        <x:f>IFERROR((B5-C5)/B5*100,0)</x:f>
        <x:v>66.06503075779085</x:v>
      </x:c>
      <x:c r="E5" t="str">
        <x:v>Lower is better</x:v>
      </x:c>
    </x:row>
    <x:row r="6">
      <x:c r="A6" s="16" t="str">
        <x:v>p95 queue wait (s)</x:v>
      </x:c>
      <x:c r="B6" s="23" t="n">
        <x:v>11.2829</x:v>
      </x:c>
      <x:c r="C6" s="23" t="n">
        <x:v>4.6745</x:v>
      </x:c>
      <x:c r="D6" s="23" t="n">
        <x:f>IFERROR((B6-C6)/B6*100,0)</x:f>
        <x:v>58.57004848044386</x:v>
      </x:c>
      <x:c r="E6" s="16" t="str">
        <x:v>Lower is better</x:v>
      </x:c>
    </x:row>
    <x:row r="7">
      <x:c r="A7" t="str">
        <x:v>p50 end-to-end (s)</x:v>
      </x:c>
      <x:c r="B7" s="22" t="n">
        <x:v>8.7676</x:v>
      </x:c>
      <x:c r="C7" s="22" t="n">
        <x:v>3.7474</x:v>
      </x:c>
      <x:c r="D7" s="22" t="n">
        <x:f>IFERROR((B7-C7)/B7*100,0)</x:f>
        <x:v>57.258542816734334</x:v>
      </x:c>
      <x:c r="E7" t="str">
        <x:v>Lower is better</x:v>
      </x:c>
    </x:row>
    <x:row r="8">
      <x:c r="A8" s="16" t="str">
        <x:v>p95 end-to-end (s)</x:v>
      </x:c>
      <x:c r="B8" s="23" t="n">
        <x:v>12.7369</x:v>
      </x:c>
      <x:c r="C8" s="23" t="n">
        <x:v>5.8264</x:v>
      </x:c>
      <x:c r="D8" s="23" t="n">
        <x:f>IFERROR((B8-C8)/B8*100,0)</x:f>
        <x:v>54.25574511851393</x:v>
      </x:c>
      <x:c r="E8" s="16" t="str">
        <x:v>Lower is better</x:v>
      </x:c>
    </x:row>
    <x:row r="9">
      <x:c r="A9" t="str">
        <x:v>Controller span (s)</x:v>
      </x:c>
      <x:c r="B9" s="22" t="n">
        <x:v>12.9147</x:v>
      </x:c>
      <x:c r="C9" s="22" t="n">
        <x:v>5.9227</x:v>
      </x:c>
      <x:c r="D9" s="22" t="n">
        <x:f>IFERROR((B9-C9)/B9*100,0)</x:f>
        <x:v>54.139856132933794</x:v>
      </x:c>
      <x:c r="E9" t="str">
        <x:v>Lower is better</x:v>
      </x:c>
    </x:row>
    <x:row r="10">
      <x:c r="A10" s="16" t="str">
        <x:v>Client wall time (s)</x:v>
      </x:c>
      <x:c r="B10" s="23" t="n">
        <x:v>15.4817</x:v>
      </x:c>
      <x:c r="C10" s="23" t="n">
        <x:v>11.0248</x:v>
      </x:c>
      <x:c r="D10" s="23" t="n">
        <x:f>IFERROR((B10-C10)/B10*100,0)</x:f>
        <x:v>28.788182176375976</x:v>
      </x:c>
      <x:c r="E10" s="16" t="str">
        <x:v>Lower is better</x:v>
      </x:c>
    </x:row>
    <x:row r="11">
      <x:c r="A11" t="str">
        <x:v>Client throughput (tok/s)</x:v>
      </x:c>
      <x:c r="B11" s="22" t="n">
        <x:v>49.607</x:v>
      </x:c>
      <x:c r="C11" s="22" t="n">
        <x:v>69.661</x:v>
      </x:c>
      <x:c r="D11" s="22" t="n">
        <x:f>IFERROR((C11-B11)/B11*100,0)</x:f>
        <x:v>40.42574636644022</x:v>
      </x:c>
      <x:c r="E11" t="str">
        <x:v>Higher is better</x:v>
      </x:c>
    </x:row>
  </x:sheetData>
  <x:mergeCells>
    <x:mergeCell ref="A1:G1"/>
    <x:mergeCell ref="A2:G2"/>
  </x:mergeCells>
  <x:conditionalFormatting sqref="D5:D11">
    <x:cfRule type="dataBar" priority="1">
      <x:dataBar>
        <x:cfvo type="min"/>
        <x:cfvo type="max"/>
        <x:color rgb="FF19866C"/>
      </x:dataBar>
      <x:extLst>
        <x:ext xmlns:x14="http://schemas.microsoft.com/office/spreadsheetml/2009/9/main" uri="{B025F937-C7B1-47D3-B67F-A62EFF666E3E}">
          <x14:id>{FB7B4AD1-2470-4109-560E-64676FFCB58B}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7B4AD1-2470-4109-560E-64676FFCB58B}">
            <x14:dataBar gradient="1">
              <x14:cfvo type="min"/>
              <x14:cfvo type="max"/>
              <x14:fillColor rgb="FF19866C"/>
            </x14:dataBar>
          </x14:cfRule>
          <xm:sqref>D5:D11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0" hidden="0" customWidth="1"/>
    <x:col min="3" max="3" width="17" hidden="0" customWidth="1"/>
    <x:col min="4" max="4" width="17" hidden="0" customWidth="1"/>
    <x:col min="5" max="5" width="21" hidden="0" customWidth="1"/>
    <x:col min="6" max="6" width="19" hidden="0" customWidth="1"/>
    <x:col min="7" max="7" width="22" hidden="0" customWidth="1"/>
    <x:col min="8" max="8" width="43" hidden="0" customWidth="1"/>
    <x:col min="9" max="9" width="23" hidden="0" customWidth="1"/>
    <x:col min="10" max="10" width="19" hidden="0" customWidth="1"/>
  </x:cols>
  <x:sheetData>
    <x:row r="1" ht="36" customHeight="1">
      <x:c r="A1" s="4" t="str">
        <x:v>16-JOB DISPATCH | TRACE INDEX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9" t="str">
        <x:v>All 16 per-job timings as shared | Inference component smaller than recorded job lifecycle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6" customHeight="1">
      <x:c r="A4" s="13" t="str">
        <x:v>Job ID prefix</x:v>
      </x:c>
      <x:c r="B4" s="13" t="str">
        <x:v>Wave</x:v>
      </x:c>
      <x:c r="C4" s="13" t="str">
        <x:v>Queue wait s</x:v>
      </x:c>
      <x:c r="D4" s="13" t="str">
        <x:v>Inference s</x:v>
      </x:c>
      <x:c r="E4" s="13" t="str">
        <x:v>Other poststart s</x:v>
      </x:c>
      <x:c r="F4" s="13" t="str">
        <x:v>Start offset s</x:v>
      </x:c>
      <x:c r="G4" s="13" t="str">
        <x:v>Poststart lifecycle s</x:v>
      </x:c>
      <x:c r="H4" s="13" t="str">
        <x:v>Start UTC</x:v>
      </x:c>
      <x:c r="I4" s="13" t="str">
        <x:v>Inferred queue share %</x:v>
      </x:c>
      <x:c r="J4" s="13" t="str">
        <x:v>Extra share %</x:v>
      </x:c>
    </x:row>
    <x:row r="5">
      <x:c r="A5" t="str">
        <x:v>2d90a88c</x:v>
      </x:c>
      <x:c r="B5" t="n">
        <x:v>1</x:v>
      </x:c>
      <x:c r="C5" s="18" t="n">
        <x:v>0.309</x:v>
      </x:c>
      <x:c r="D5" s="18" t="n">
        <x:v>0.204</x:v>
      </x:c>
      <x:c r="E5" s="18" t="n">
        <x:v>1.77</x:v>
      </x:c>
      <x:c r="F5" s="18" t="n">
        <x:v>0</x:v>
      </x:c>
      <x:c r="G5" s="18" t="n">
        <x:v>1.974</x:v>
      </x:c>
      <x:c r="H5" t="n">
        <x:v>46321.424964363425</x:v>
      </x:c>
      <x:c r="I5" s="26" t="n">
        <x:f>IFERROR(C5/(C5+G5)*100,0)</x:f>
        <x:v>13.534822601839686</x:v>
      </x:c>
      <x:c r="J5" s="26" t="n">
        <x:f>IFERROR(E5/G5*100,0)</x:f>
        <x:v>89.66565349544074</x:v>
      </x:c>
    </x:row>
    <x:row r="6">
      <x:c r="A6" s="16" t="str">
        <x:v>7a36dbba</x:v>
      </x:c>
      <x:c r="B6" s="16" t="n">
        <x:v>1</x:v>
      </x:c>
      <x:c r="C6" s="19" t="n">
        <x:v>0.298</x:v>
      </x:c>
      <x:c r="D6" s="19" t="n">
        <x:v>0.188</x:v>
      </x:c>
      <x:c r="E6" s="19" t="n">
        <x:v>1.802</x:v>
      </x:c>
      <x:c r="F6" s="19" t="n">
        <x:v>0.028146</x:v>
      </x:c>
      <x:c r="G6" s="19" t="n">
        <x:v>1.99</x:v>
      </x:c>
      <x:c r="H6" s="16" t="n">
        <x:v>46321.4249646875</x:v>
      </x:c>
      <x:c r="I6" s="27" t="n">
        <x:f>IFERROR(C6/(C6+G6)*100,0)</x:f>
        <x:v>13.024475524475527</x:v>
      </x:c>
      <x:c r="J6" s="27" t="n">
        <x:f>IFERROR(E6/G6*100,0)</x:f>
        <x:v>90.55276381909549</x:v>
      </x:c>
    </x:row>
    <x:row r="7">
      <x:c r="A7" t="str">
        <x:v>11e2a4fe</x:v>
      </x:c>
      <x:c r="B7" t="n">
        <x:v>2</x:v>
      </x:c>
      <x:c r="C7" s="18" t="n">
        <x:v>2.302</x:v>
      </x:c>
      <x:c r="D7" s="18" t="n">
        <x:v>0.182</x:v>
      </x:c>
      <x:c r="E7" s="18" t="n">
        <x:v>1.654</x:v>
      </x:c>
      <x:c r="F7" s="18" t="n">
        <x:v>2.039442</x:v>
      </x:c>
      <x:c r="G7" s="18" t="n">
        <x:v>1.8359999999999999</x:v>
      </x:c>
      <x:c r="H7" t="n">
        <x:v>46321.424987962964</x:v>
      </x:c>
      <x:c r="I7" s="26" t="n">
        <x:f>IFERROR(C7/(C7+G7)*100,0)</x:f>
        <x:v>55.63073948767521</x:v>
      </x:c>
      <x:c r="J7" s="26" t="n">
        <x:f>IFERROR(E7/G7*100,0)</x:f>
        <x:v>90.08714596949892</x:v>
      </x:c>
    </x:row>
    <x:row r="8">
      <x:c r="A8" s="16" t="str">
        <x:v>24515677</x:v>
      </x:c>
      <x:c r="B8" s="16" t="n">
        <x:v>2</x:v>
      </x:c>
      <x:c r="C8" s="19" t="n">
        <x:v>2.312</x:v>
      </x:c>
      <x:c r="D8" s="19" t="n">
        <x:v>0.197</x:v>
      </x:c>
      <x:c r="E8" s="19" t="n">
        <x:v>1.58</x:v>
      </x:c>
      <x:c r="F8" s="19" t="n">
        <x:v>2.058141</x:v>
      </x:c>
      <x:c r="G8" s="19" t="n">
        <x:v>1.7770000000000001</x:v>
      </x:c>
      <x:c r="H8" s="16" t="n">
        <x:v>46321.42498818287</x:v>
      </x:c>
      <x:c r="I8" s="27" t="n">
        <x:f>IFERROR(C8/(C8+G8)*100,0)</x:f>
        <x:v>56.541941795059905</x:v>
      </x:c>
      <x:c r="J8" s="27" t="n">
        <x:f>IFERROR(E8/G8*100,0)</x:f>
        <x:v>88.91389983117614</x:v>
      </x:c>
    </x:row>
    <x:row r="9">
      <x:c r="A9" t="str">
        <x:v>a767c2f5</x:v>
      </x:c>
      <x:c r="B9" t="n">
        <x:v>3</x:v>
      </x:c>
      <x:c r="C9" s="18" t="n">
        <x:v>4.271</x:v>
      </x:c>
      <x:c r="D9" s="18" t="n">
        <x:v>0.212</x:v>
      </x:c>
      <x:c r="E9" s="18" t="n">
        <x:v>1.528</x:v>
      </x:c>
      <x:c r="F9" s="18" t="n">
        <x:v>4.024196</x:v>
      </x:c>
      <x:c r="G9" s="18" t="n">
        <x:v>1.74</x:v>
      </x:c>
      <x:c r="H9" t="n">
        <x:v>46321.4250109375</x:v>
      </x:c>
      <x:c r="I9" s="26" t="n">
        <x:f>IFERROR(C9/(C9+G9)*100,0)</x:f>
        <x:v>71.05306937281651</x:v>
      </x:c>
      <x:c r="J9" s="26" t="n">
        <x:f>IFERROR(E9/G9*100,0)</x:f>
        <x:v>87.816091954023</x:v>
      </x:c>
    </x:row>
    <x:row r="10">
      <x:c r="A10" s="16" t="str">
        <x:v>5dea6895</x:v>
      </x:c>
      <x:c r="B10" s="16" t="n">
        <x:v>3</x:v>
      </x:c>
      <x:c r="C10" s="19" t="n">
        <x:v>4.313</x:v>
      </x:c>
      <x:c r="D10" s="19" t="n">
        <x:v>0.197</x:v>
      </x:c>
      <x:c r="E10" s="19" t="n">
        <x:v>1.507</x:v>
      </x:c>
      <x:c r="F10" s="19" t="n">
        <x:v>4.072939</x:v>
      </x:c>
      <x:c r="G10" s="19" t="n">
        <x:v>1.704</x:v>
      </x:c>
      <x:c r="H10" s="16" t="n">
        <x:v>46321.42501150463</x:v>
      </x:c>
      <x:c r="I10" s="27" t="n">
        <x:f>IFERROR(C10/(C10+G10)*100,0)</x:f>
        <x:v>71.68023932192122</x:v>
      </x:c>
      <x:c r="J10" s="27" t="n">
        <x:f>IFERROR(E10/G10*100,0)</x:f>
        <x:v>88.43896713615023</x:v>
      </x:c>
    </x:row>
    <x:row r="11">
      <x:c r="A11" t="str">
        <x:v>52117e6b</x:v>
      </x:c>
      <x:c r="B11" t="n">
        <x:v>4</x:v>
      </x:c>
      <x:c r="C11" s="18" t="n">
        <x:v>6.255</x:v>
      </x:c>
      <x:c r="D11" s="18" t="n">
        <x:v>0.202</x:v>
      </x:c>
      <x:c r="E11" s="18" t="n">
        <x:v>1.984</x:v>
      </x:c>
      <x:c r="F11" s="18" t="n">
        <x:v>6.022472</x:v>
      </x:c>
      <x:c r="G11" s="18" t="n">
        <x:v>2.186</x:v>
      </x:c>
      <x:c r="H11" t="n">
        <x:v>46321.4250340625</x:v>
      </x:c>
      <x:c r="I11" s="26" t="n">
        <x:f>IFERROR(C11/(C11+G11)*100,0)</x:f>
        <x:v>74.1025944793271</x:v>
      </x:c>
      <x:c r="J11" s="26" t="n">
        <x:f>IFERROR(E11/G11*100,0)</x:f>
        <x:v>90.75937785910338</x:v>
      </x:c>
    </x:row>
    <x:row r="12">
      <x:c r="A12" s="16" t="str">
        <x:v>01819b59</x:v>
      </x:c>
      <x:c r="B12" s="16" t="n">
        <x:v>4</x:v>
      </x:c>
      <x:c r="C12" s="19" t="n">
        <x:v>6.298</x:v>
      </x:c>
      <x:c r="D12" s="19" t="n">
        <x:v>0.217</x:v>
      </x:c>
      <x:c r="E12" s="19" t="n">
        <x:v>1.948</x:v>
      </x:c>
      <x:c r="F12" s="19" t="n">
        <x:v>6.073822</x:v>
      </x:c>
      <x:c r="G12" s="19" t="n">
        <x:v>2.165</x:v>
      </x:c>
      <x:c r="H12" s="16" t="n">
        <x:v>46321.42503465278</x:v>
      </x:c>
      <x:c r="I12" s="27" t="n">
        <x:f>IFERROR(C12/(C12+G12)*100,0)</x:f>
        <x:v>74.41805506321634</x:v>
      </x:c>
      <x:c r="J12" s="27" t="n">
        <x:f>IFERROR(E12/G12*100,0)</x:f>
        <x:v>89.97690531177828</x:v>
      </x:c>
    </x:row>
    <x:row r="13">
      <x:c r="A13" t="str">
        <x:v>d50fcd3d</x:v>
      </x:c>
      <x:c r="B13" t="n">
        <x:v>5</x:v>
      </x:c>
      <x:c r="C13" s="18" t="n">
        <x:v>8.488</x:v>
      </x:c>
      <x:c r="D13" s="18" t="n">
        <x:v>0.196</x:v>
      </x:c>
      <x:c r="E13" s="18" t="n">
        <x:v>1.109</x:v>
      </x:c>
      <x:c r="F13" s="18" t="n">
        <x:v>8.270269</x:v>
      </x:c>
      <x:c r="G13" s="18" t="n">
        <x:v>1.305</x:v>
      </x:c>
      <x:c r="H13" t="n">
        <x:v>46321.42506008102</x:v>
      </x:c>
      <x:c r="I13" s="26" t="n">
        <x:f>IFERROR(C13/(C13+G13)*100,0)</x:f>
        <x:v>86.67415500867968</x:v>
      </x:c>
      <x:c r="J13" s="26" t="n">
        <x:f>IFERROR(E13/G13*100,0)</x:f>
        <x:v>84.9808429118774</x:v>
      </x:c>
    </x:row>
    <x:row r="14">
      <x:c r="A14" s="16" t="str">
        <x:v>46ee3099</x:v>
      </x:c>
      <x:c r="B14" s="16" t="n">
        <x:v>5</x:v>
      </x:c>
      <x:c r="C14" s="19" t="n">
        <x:v>8.495</x:v>
      </x:c>
      <x:c r="D14" s="19" t="n">
        <x:v>0.182</x:v>
      </x:c>
      <x:c r="E14" s="19" t="n">
        <x:v>1.116</x:v>
      </x:c>
      <x:c r="F14" s="19" t="n">
        <x:v>8.288372</x:v>
      </x:c>
      <x:c r="G14" s="19" t="n">
        <x:v>1.298</x:v>
      </x:c>
      <x:c r="H14" s="16" t="n">
        <x:v>46321.42506028935</x:v>
      </x:c>
      <x:c r="I14" s="27" t="n">
        <x:f>IFERROR(C14/(C14+G14)*100,0)</x:f>
        <x:v>86.7456346369856</x:v>
      </x:c>
      <x:c r="J14" s="27" t="n">
        <x:f>IFERROR(E14/G14*100,0)</x:f>
        <x:v>85.97842835130972</x:v>
      </x:c>
    </x:row>
    <x:row r="15">
      <x:c r="A15" t="str">
        <x:v>f0ca7566</x:v>
      </x:c>
      <x:c r="B15" t="n">
        <x:v>6</x:v>
      </x:c>
      <x:c r="C15" s="18" t="n">
        <x:v>9.859</x:v>
      </x:c>
      <x:c r="D15" s="18" t="n">
        <x:v>0.177</x:v>
      </x:c>
      <x:c r="E15" s="18" t="n">
        <x:v>1.455</x:v>
      </x:c>
      <x:c r="F15" s="18" t="n">
        <x:v>9.663186</x:v>
      </x:c>
      <x:c r="G15" s="18" t="n">
        <x:v>1.6320000000000001</x:v>
      </x:c>
      <x:c r="H15" t="n">
        <x:v>46321.425076203705</x:v>
      </x:c>
      <x:c r="I15" s="26" t="n">
        <x:f>IFERROR(C15/(C15+G15)*100,0)</x:f>
        <x:v>85.79758071534245</x:v>
      </x:c>
      <x:c r="J15" s="26" t="n">
        <x:f>IFERROR(E15/G15*100,0)</x:f>
        <x:v>89.15441176470587</x:v>
      </x:c>
    </x:row>
    <x:row r="16">
      <x:c r="A16" s="16" t="str">
        <x:v>0a3412cd</x:v>
      </x:c>
      <x:c r="B16" s="16" t="n">
        <x:v>6</x:v>
      </x:c>
      <x:c r="C16" s="19" t="n">
        <x:v>9.9</x:v>
      </x:c>
      <x:c r="D16" s="19" t="n">
        <x:v>0.192</x:v>
      </x:c>
      <x:c r="E16" s="19" t="n">
        <x:v>1.353</x:v>
      </x:c>
      <x:c r="F16" s="19" t="n">
        <x:v>9.710144</x:v>
      </x:c>
      <x:c r="G16" s="19" t="n">
        <x:v>1.545</x:v>
      </x:c>
      <x:c r="H16" s="16" t="n">
        <x:v>46321.425076747684</x:v>
      </x:c>
      <x:c r="I16" s="27" t="n">
        <x:f>IFERROR(C16/(C16+G16)*100,0)</x:f>
        <x:v>86.50065530799476</x:v>
      </x:c>
      <x:c r="J16" s="27" t="n">
        <x:f>IFERROR(E16/G16*100,0)</x:f>
        <x:v>87.57281553398059</x:v>
      </x:c>
    </x:row>
    <x:row r="17">
      <x:c r="A17" t="str">
        <x:v>55468ea4</x:v>
      </x:c>
      <x:c r="B17" t="n">
        <x:v>7</x:v>
      </x:c>
      <x:c r="C17" s="18" t="n">
        <x:v>11.523</x:v>
      </x:c>
      <x:c r="D17" s="18" t="n">
        <x:v>0.183</x:v>
      </x:c>
      <x:c r="E17" s="18" t="n">
        <x:v>1.892</x:v>
      </x:c>
      <x:c r="F17" s="18" t="n">
        <x:v>11.341219</x:v>
      </x:c>
      <x:c r="G17" s="18" t="n">
        <x:v>2.0749999999999997</x:v>
      </x:c>
      <x:c r="H17" t="n">
        <x:v>46321.425095625</x:v>
      </x:c>
      <x:c r="I17" s="26" t="n">
        <x:f>IFERROR(C17/(C17+G17)*100,0)</x:f>
        <x:v>84.74040300044125</x:v>
      </x:c>
      <x:c r="J17" s="26" t="n">
        <x:f>IFERROR(E17/G17*100,0)</x:f>
        <x:v>91.18072289156626</x:v>
      </x:c>
    </x:row>
    <x:row r="18">
      <x:c r="A18" s="16" t="str">
        <x:v>444cbaa7</x:v>
      </x:c>
      <x:c r="B18" s="16" t="n">
        <x:v>7</x:v>
      </x:c>
      <x:c r="C18" s="19" t="n">
        <x:v>11.585</x:v>
      </x:c>
      <x:c r="D18" s="19" t="n">
        <x:v>0.198</x:v>
      </x:c>
      <x:c r="E18" s="19" t="n">
        <x:v>1.852</x:v>
      </x:c>
      <x:c r="F18" s="19" t="n">
        <x:v>11.409035</x:v>
      </x:c>
      <x:c r="G18" s="19" t="n">
        <x:v>2.0500000000000003</x:v>
      </x:c>
      <x:c r="H18" s="16" t="n">
        <x:v>46321.42509641204</x:v>
      </x:c>
      <x:c r="I18" s="27" t="n">
        <x:f>IFERROR(C18/(C18+G18)*100,0)</x:f>
        <x:v>84.96516318298497</x:v>
      </x:c>
      <x:c r="J18" s="27" t="n">
        <x:f>IFERROR(E18/G18*100,0)</x:f>
        <x:v>90.34146341463413</x:v>
      </x:c>
    </x:row>
    <x:row r="19">
      <x:c r="A19" t="str">
        <x:v>69445dde</x:v>
      </x:c>
      <x:c r="B19" t="n">
        <x:v>8</x:v>
      </x:c>
      <x:c r="C19" s="18" t="n">
        <x:v>13.738</x:v>
      </x:c>
      <x:c r="D19" s="18" t="n">
        <x:v>0.184</x:v>
      </x:c>
      <x:c r="E19" s="18" t="n">
        <x:v>1.468</x:v>
      </x:c>
      <x:c r="F19" s="18" t="n">
        <x:v>13.569431</x:v>
      </x:c>
      <x:c r="G19" s="18" t="n">
        <x:v>1.652</x:v>
      </x:c>
      <x:c r="H19" t="n">
        <x:v>46321.42512141204</x:v>
      </x:c>
      <x:c r="I19" s="26" t="n">
        <x:f>IFERROR(C19/(C19+G19)*100,0)</x:f>
        <x:v>89.26575698505523</x:v>
      </x:c>
      <x:c r="J19" s="26" t="n">
        <x:f>IFERROR(E19/G19*100,0)</x:f>
        <x:v>88.86198547215497</x:v>
      </x:c>
    </x:row>
    <x:row r="20">
      <x:c r="A20" s="16" t="str">
        <x:v>b19ba51a</x:v>
      </x:c>
      <x:c r="B20" s="16" t="n">
        <x:v>8</x:v>
      </x:c>
      <x:c r="C20" s="19" t="n">
        <x:v>13.745</x:v>
      </x:c>
      <x:c r="D20" s="19" t="n">
        <x:v>0.2</x:v>
      </x:c>
      <x:c r="E20" s="19" t="n">
        <x:v>1.401</x:v>
      </x:c>
      <x:c r="F20" s="19" t="n">
        <x:v>13.582899</x:v>
      </x:c>
      <x:c r="G20" s="19" t="n">
        <x:v>1.601</x:v>
      </x:c>
      <x:c r="H20" s="16" t="n">
        <x:v>46321.42512157407</x:v>
      </x:c>
      <x:c r="I20" s="27" t="n">
        <x:f>IFERROR(C20/(C20+G20)*100,0)</x:f>
        <x:v>89.56731395803466</x:v>
      </x:c>
      <x:c r="J20" s="27" t="n">
        <x:f>IFERROR(E20/G20*100,0)</x:f>
        <x:v>87.50780762023736</x:v>
      </x:c>
    </x:row>
  </x:sheetData>
  <x:mergeCells>
    <x:mergeCell ref="A1:J1"/>
    <x:mergeCell ref="A2:J2"/>
  </x:mergeCells>
  <x:conditionalFormatting sqref="C5:C20">
    <x:cfRule type="dataBar" priority="1">
      <x:dataBar>
        <x:cfvo type="min"/>
        <x:cfvo type="max"/>
        <x:color rgb="FFD49350"/>
      </x:dataBar>
      <x:extLst>
        <x:ext xmlns:x14="http://schemas.microsoft.com/office/spreadsheetml/2009/9/main" uri="{B025F937-C7B1-47D3-B67F-A62EFF666E3E}">
          <x14:id>{AB24A9D5-ED27-7A8F-89F9-D3604EA485C7}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B24A9D5-ED27-7A8F-89F9-D3604EA485C7}">
            <x14:dataBar gradient="1">
              <x14:cfvo type="min"/>
              <x14:cfvo type="max"/>
              <x14:fillColor rgb="FFD49350"/>
            </x14:dataBar>
          </x14:cfRule>
          <xm:sqref>C5:C20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6" hidden="0" customWidth="1"/>
    <x:col min="5" max="5" width="23" hidden="0" customWidth="1"/>
    <x:col min="6" max="6" width="31" hidden="0" customWidth="1"/>
    <x:col min="7" max="7" width="10" hidden="0" customWidth="1"/>
  </x:cols>
  <x:sheetData>
    <x:row r="1" ht="36" customHeight="1">
      <x:c r="A1" s="4" t="str">
        <x:v>LATENCY PROFILER | THREE EXECUTION PATHS</x:v>
      </x:c>
      <x:c r="B1" s="4"/>
      <x:c r="C1" s="4"/>
      <x:c r="D1" s="4"/>
      <x:c r="E1" s="4"/>
      <x:c r="F1" s="4"/>
      <x:c r="G1" s="4"/>
    </x:row>
    <x:row r="2" ht="27" customHeight="1">
      <x:c r="A2" s="9" t="str">
        <x:v>Historical 3-trial summary | Client measurements include network overhead, not pure GPU execution time</x:v>
      </x:c>
      <x:c r="B2" s="9"/>
      <x:c r="C2" s="9"/>
      <x:c r="D2" s="9"/>
      <x:c r="E2" s="9"/>
      <x:c r="F2" s="9"/>
      <x:c r="G2" s="9"/>
    </x:row>
    <x:row r="4" ht="26" customHeight="1">
      <x:c r="A4" s="13" t="str">
        <x:v>Execution path</x:v>
      </x:c>
      <x:c r="B4" s="13" t="str">
        <x:v>Median client s</x:v>
      </x:c>
      <x:c r="C4" s="13" t="str">
        <x:v>p95 client s</x:v>
      </x:c>
      <x:c r="D4" s="13" t="str">
        <x:v>Median agent extra s</x:v>
      </x:c>
      <x:c r="E4" s="13" t="str">
        <x:v>Median queue s</x:v>
      </x:c>
      <x:c r="F4" s="13" t="str">
        <x:v>Median poststart extra s</x:v>
      </x:c>
      <x:c r="G4" s="13" t="str">
        <x:v>Trials</x:v>
      </x:c>
    </x:row>
    <x:row r="5">
      <x:c r="A5" t="str">
        <x:v>Direct vLLM</x:v>
      </x:c>
      <x:c r="B5" t="n">
        <x:v>1.5487</x:v>
      </x:c>
      <x:c r="C5" t="n">
        <x:v>1.5703</x:v>
      </x:c>
      <x:c r="D5"/>
      <x:c r="E5"/>
      <x:c r="F5"/>
      <x:c r="G5" t="n">
        <x:v>3</x:v>
      </x:c>
    </x:row>
    <x:row r="6">
      <x:c r="A6" s="16" t="str">
        <x:v>Via agent</x:v>
      </x:c>
      <x:c r="B6" s="16" t="n">
        <x:v>1.1988</x:v>
      </x:c>
      <x:c r="C6" s="16" t="n">
        <x:v>1.6402</x:v>
      </x:c>
      <x:c r="D6" s="16" t="n">
        <x:v>1.027</x:v>
      </x:c>
      <x:c r="E6" s="16"/>
      <x:c r="F6" s="16"/>
      <x:c r="G6" s="16" t="n">
        <x:v>3</x:v>
      </x:c>
    </x:row>
    <x:row r="7">
      <x:c r="A7" t="str">
        <x:v>Mission Control</x:v>
      </x:c>
      <x:c r="B7" t="n">
        <x:v>1.845</x:v>
      </x:c>
      <x:c r="C7" t="n">
        <x:v>1.9246</x:v>
      </x:c>
      <x:c r="D7"/>
      <x:c r="E7" t="n">
        <x:v>0.46</x:v>
      </x:c>
      <x:c r="F7" t="n">
        <x:v>1.2238</x:v>
      </x:c>
      <x:c r="G7" t="n">
        <x:v>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40" hidden="0" customWidth="1"/>
    <x:col min="3" max="3" width="18" hidden="0" customWidth="1"/>
    <x:col min="4" max="4" width="60" hidden="0" customWidth="1"/>
  </x:cols>
  <x:sheetData>
    <x:row r="1" ht="36" customHeight="1">
      <x:c r="A1" s="4" t="str">
        <x:v>METRIC DICTIONARY | DEFINITIONS</x:v>
      </x:c>
      <x:c r="B1" s="4"/>
      <x:c r="C1" s="4"/>
      <x:c r="D1" s="4"/>
      <x:c r="E1" s="4"/>
      <x:c r="F1" s="4"/>
      <x:c r="G1" s="4"/>
    </x:row>
    <x:row r="2" ht="27" customHeight="1">
      <x:c r="A2" s="9" t="str">
        <x:v>Units, interpretation and caveats must accompany every graph or performance claim</x:v>
      </x:c>
      <x:c r="B2" s="9"/>
      <x:c r="C2" s="9"/>
      <x:c r="D2" s="9"/>
      <x:c r="E2" s="9"/>
      <x:c r="F2" s="9"/>
      <x:c r="G2" s="9"/>
    </x:row>
    <x:row r="4" ht="26" customHeight="1">
      <x:c r="A4" s="13" t="str">
        <x:v>Metric key</x:v>
      </x:c>
      <x:c r="B4" s="13" t="str">
        <x:v>Label</x:v>
      </x:c>
      <x:c r="C4" s="13" t="str">
        <x:v>Unit</x:v>
      </x:c>
      <x:c r="D4" s="13" t="str">
        <x:v>Interpretation</x:v>
      </x:c>
    </x:row>
    <x:row r="5">
      <x:c r="A5" t="str">
        <x:v>requested_jobs</x:v>
      </x:c>
      <x:c r="B5" t="str">
        <x:v>Requests submitted</x:v>
      </x:c>
      <x:c r="C5" t="str">
        <x:v>count</x:v>
      </x:c>
      <x:c r="D5" t="str">
        <x:v>Recorded from benchmark script</x:v>
      </x:c>
    </x:row>
    <x:row r="6">
      <x:c r="A6" s="16" t="str">
        <x:v>completed</x:v>
      </x:c>
      <x:c r="B6" s="16" t="str">
        <x:v>Completed jobs</x:v>
      </x:c>
      <x:c r="C6" s="16" t="str">
        <x:v>count</x:v>
      </x:c>
      <x:c r="D6" s="16" t="str">
        <x:v>Recorded from benchmark script</x:v>
      </x:c>
    </x:row>
    <x:row r="7">
      <x:c r="A7" t="str">
        <x:v>failed</x:v>
      </x:c>
      <x:c r="B7" t="str">
        <x:v>Failed jobs</x:v>
      </x:c>
      <x:c r="C7" t="str">
        <x:v>count</x:v>
      </x:c>
      <x:c r="D7" t="str">
        <x:v>Recorded from benchmark script</x:v>
      </x:c>
    </x:row>
    <x:row r="8">
      <x:c r="A8" s="16" t="str">
        <x:v>p50_queue_wait_seconds</x:v>
      </x:c>
      <x:c r="B8" s="16" t="str">
        <x:v>Queue wait p50</x:v>
      </x:c>
      <x:c r="C8" s="16" t="str">
        <x:v>s</x:v>
      </x:c>
      <x:c r="D8" s="16" t="str">
        <x:v>Recorded from benchmark script</x:v>
      </x:c>
    </x:row>
    <x:row r="9">
      <x:c r="A9" t="str">
        <x:v>p95_queue_wait_seconds</x:v>
      </x:c>
      <x:c r="B9" t="str">
        <x:v>Queue wait p95</x:v>
      </x:c>
      <x:c r="C9" t="str">
        <x:v>s</x:v>
      </x:c>
      <x:c r="D9" t="str">
        <x:v>Recorded from benchmark script</x:v>
      </x:c>
    </x:row>
    <x:row r="10">
      <x:c r="A10" s="16" t="str">
        <x:v>p50_inference_seconds</x:v>
      </x:c>
      <x:c r="B10" s="16" t="str">
        <x:v>Inference p50</x:v>
      </x:c>
      <x:c r="C10" s="16" t="str">
        <x:v>s</x:v>
      </x:c>
      <x:c r="D10" s="16" t="str">
        <x:v>Recorded from benchmark script</x:v>
      </x:c>
    </x:row>
    <x:row r="11">
      <x:c r="A11" t="str">
        <x:v>p95_inference_seconds</x:v>
      </x:c>
      <x:c r="B11" t="str">
        <x:v>Inference p95</x:v>
      </x:c>
      <x:c r="C11" t="str">
        <x:v>s</x:v>
      </x:c>
      <x:c r="D11" t="str">
        <x:v>Recorded from benchmark script</x:v>
      </x:c>
    </x:row>
    <x:row r="12">
      <x:c r="A12" s="16" t="str">
        <x:v>p50_end_to_end_seconds</x:v>
      </x:c>
      <x:c r="B12" s="16" t="str">
        <x:v>End-to-end p50</x:v>
      </x:c>
      <x:c r="C12" s="16" t="str">
        <x:v>s</x:v>
      </x:c>
      <x:c r="D12" s="16" t="str">
        <x:v>Recorded from benchmark script</x:v>
      </x:c>
    </x:row>
    <x:row r="13">
      <x:c r="A13" t="str">
        <x:v>p95_end_to_end_seconds</x:v>
      </x:c>
      <x:c r="B13" t="str">
        <x:v>End-to-end p95</x:v>
      </x:c>
      <x:c r="C13" t="str">
        <x:v>s</x:v>
      </x:c>
      <x:c r="D13" t="str">
        <x:v>Recorded from benchmark script</x:v>
      </x:c>
    </x:row>
    <x:row r="14">
      <x:c r="A14" s="16" t="str">
        <x:v>client_observed_wall_seconds</x:v>
      </x:c>
      <x:c r="B14" s="16" t="str">
        <x:v>Client wall clock</x:v>
      </x:c>
      <x:c r="C14" s="16" t="str">
        <x:v>s</x:v>
      </x:c>
      <x:c r="D14" s="16" t="str">
        <x:v>Recorded from benchmark script</x:v>
      </x:c>
    </x:row>
    <x:row r="15">
      <x:c r="A15" t="str">
        <x:v>controller_lifecycle_span_seconds</x:v>
      </x:c>
      <x:c r="B15" t="str">
        <x:v>Controller lifecycle span</x:v>
      </x:c>
      <x:c r="C15" t="str">
        <x:v>s</x:v>
      </x:c>
      <x:c r="D15" t="str">
        <x:v>Recorded from benchmark script</x:v>
      </x:c>
    </x:row>
    <x:row r="16">
      <x:c r="A16" s="16" t="str">
        <x:v>observed_client_tokens_per_second</x:v>
      </x:c>
      <x:c r="B16" s="16" t="str">
        <x:v>Client-observed output throughput</x:v>
      </x:c>
      <x:c r="C16" s="16" t="str">
        <x:v>output tok/s</x:v>
      </x:c>
      <x:c r="D16" s="16" t="str">
        <x:v>Recorded from benchmark script</x:v>
      </x:c>
    </x:row>
    <x:row r="17">
      <x:c r="A17" t="str">
        <x:v>controller_lifecycle_tokens_per_second</x:v>
      </x:c>
      <x:c r="B17" t="str">
        <x:v>Controller span throughput</x:v>
      </x:c>
      <x:c r="C17" t="str">
        <x:v>output tok/s</x:v>
      </x:c>
      <x:c r="D17" t="str">
        <x:v>Recorded from benchmark script</x:v>
      </x:c>
    </x:row>
    <x:row r="18">
      <x:c r="A18" s="16" t="str">
        <x:v>peak_polled_hbm_gib</x:v>
      </x:c>
      <x:c r="B18" s="16" t="str">
        <x:v>Largest sampled HBM usage</x:v>
      </x:c>
      <x:c r="C18" s="16" t="str">
        <x:v>GiB</x:v>
      </x:c>
      <x:c r="D18" s="16" t="str">
        <x:v>Recorded from benchmark script</x:v>
      </x:c>
    </x:row>
    <x:row r="19">
      <x:c r="A19" t="str">
        <x:v>gpu_poll_rows</x:v>
      </x:c>
      <x:c r="B19" t="str">
        <x:v>GPU poll rows</x:v>
      </x:c>
      <x:c r="C19" t="str">
        <x:v>count</x:v>
      </x:c>
      <x:c r="D19" t="str">
        <x:v>Recorded from benchmark script</x:v>
      </x:c>
    </x:row>
    <x:row r="20">
      <x:c r="A20" s="16" t="str">
        <x:v>completion_tokens</x:v>
      </x:c>
      <x:c r="B20" s="16" t="str">
        <x:v>Completion tokens</x:v>
      </x:c>
      <x:c r="C20" s="16" t="str">
        <x:v>count</x:v>
      </x:c>
      <x:c r="D20" s="16" t="str">
        <x:v>Recorded from benchmark script</x:v>
      </x:c>
    </x:row>
    <x:row r="21">
      <x:c r="A21" t="str">
        <x:v>p99_queue_wait_derived</x:v>
      </x:c>
      <x:c r="B21" t="str">
        <x:v>Derived queue p99</x:v>
      </x:c>
      <x:c r="C21" t="str">
        <x:v>s</x:v>
      </x:c>
      <x:c r="D21" t="str">
        <x:v>Derived only when raw per-job records available</x:v>
      </x:c>
    </x:row>
    <x:row r="22">
      <x:c r="A22" s="16" t="str">
        <x:v>mean_queue_wait_derived</x:v>
      </x:c>
      <x:c r="B22" s="16" t="str">
        <x:v>Derived mean queue wait</x:v>
      </x:c>
      <x:c r="C22" s="16" t="str">
        <x:v>s</x:v>
      </x:c>
      <x:c r="D22" s="16" t="str">
        <x:v>Derived only when raw per-job records available</x:v>
      </x:c>
    </x:row>
    <x:row r="23">
      <x:c r="A23" t="str">
        <x:v>sd_queue_wait_derived</x:v>
      </x:c>
      <x:c r="B23" t="str">
        <x:v>Derived queue wait stdev</x:v>
      </x:c>
      <x:c r="C23" t="str">
        <x:v>s</x:v>
      </x:c>
      <x:c r="D23" t="str">
        <x:v>Derived only when raw per-job records available</x:v>
      </x:c>
    </x:row>
    <x:row r="24">
      <x:c r="A24" s="16" t="str">
        <x:v>p99_end_to_end_derived</x:v>
      </x:c>
      <x:c r="B24" s="16" t="str">
        <x:v>Derived E2E p99</x:v>
      </x:c>
      <x:c r="C24" s="16" t="str">
        <x:v>s</x:v>
      </x:c>
      <x:c r="D24" s="16" t="str">
        <x:v>Derived only when raw per-job records available</x:v>
      </x:c>
    </x:row>
    <x:row r="25">
      <x:c r="A25" t="str">
        <x:v>mean_end_to_end_derived</x:v>
      </x:c>
      <x:c r="B25" t="str">
        <x:v>Derived mean E2E</x:v>
      </x:c>
      <x:c r="C25" t="str">
        <x:v>s</x:v>
      </x:c>
      <x:c r="D25" t="str">
        <x:v>Derived only when raw per-job records available</x:v>
      </x:c>
    </x:row>
    <x:row r="26">
      <x:c r="A26" s="16" t="str">
        <x:v>jobs_per_client_second_derived</x:v>
      </x:c>
      <x:c r="B26" s="16" t="str">
        <x:v>Completed jobs / client wall</x:v>
      </x:c>
      <x:c r="C26" s="16" t="str">
        <x:v>jobs/s</x:v>
      </x:c>
      <x:c r="D26" s="16" t="str">
        <x:v>Derived only when raw per-job records available</x:v>
      </x:c>
    </x:row>
    <x:row r="27">
      <x:c r="A27" t="str">
        <x:v>completion_rate_pct_derived</x:v>
      </x:c>
      <x:c r="B27" t="str">
        <x:v>Completion rate</x:v>
      </x:c>
      <x:c r="C27" t="str">
        <x:v>%</x:v>
      </x:c>
      <x:c r="D27" t="str">
        <x:v>Derived only when raw per-job records available</x:v>
      </x:c>
    </x:row>
    <x:row r="28">
      <x:c r="A28" s="16" t="str">
        <x:v>poststart_extra_mean_derived</x:v>
      </x:c>
      <x:c r="B28" s="16" t="str">
        <x:v>Poststart overhead mean</x:v>
      </x:c>
      <x:c r="C28" s="16" t="str">
        <x:v>s</x:v>
      </x:c>
      <x:c r="D28" s="16" t="str">
        <x:v>Derived only when raw per-job records available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22" hidden="0" customWidth="1"/>
    <x:col min="6" max="6" width="11" hidden="0" customWidth="1"/>
  </x:cols>
  <x:sheetData>
    <x:row r="1" ht="36" customHeight="1">
      <x:c r="A1" s="4" t="str">
        <x:v>CHART SOURCE | CORE BENCHMARK SERIES</x:v>
      </x:c>
      <x:c r="B1" s="4"/>
      <x:c r="C1" s="4"/>
      <x:c r="D1" s="4"/>
      <x:c r="E1" s="4"/>
      <x:c r="F1" s="4"/>
      <x:c r="G1" s="4"/>
    </x:row>
    <x:row r="2" ht="27" customHeight="1">
      <x:c r="A2" s="9" t="str">
        <x:v>Directly sourced from documented four-run summary</x:v>
      </x:c>
      <x:c r="B2" s="9"/>
      <x:c r="C2" s="9"/>
      <x:c r="D2" s="9"/>
      <x:c r="E2" s="9"/>
      <x:c r="F2" s="9"/>
      <x:c r="G2" s="9"/>
    </x:row>
    <x:row r="4" ht="26" customHeight="1">
      <x:c r="A4" s="13" t="str">
        <x:v>Run</x:v>
      </x:c>
      <x:c r="B4" s="13" t="str">
        <x:v>p95 queue s</x:v>
      </x:c>
      <x:c r="C4" s="13" t="str">
        <x:v>p95 E2E s</x:v>
      </x:c>
      <x:c r="D4" s="13" t="str">
        <x:v>p95 infer s</x:v>
      </x:c>
      <x:c r="E4" s="13" t="str">
        <x:v>Client tok/s</x:v>
      </x:c>
      <x:c r="F4" s="13" t="str">
        <x:v>Jobs</x:v>
      </x:c>
    </x:row>
    <x:row r="5">
      <x:c r="A5" t="str">
        <x:v>4 jobs: initial v0.3</x:v>
      </x:c>
      <x:c r="B5"/>
      <x:c r="C5"/>
      <x:c r="D5" t="n">
        <x:v>0.2326</x:v>
      </x:c>
      <x:c r="E5"/>
      <x:c r="F5" t="n">
        <x:v>4</x:v>
      </x:c>
    </x:row>
    <x:row r="6">
      <x:c r="A6" s="16" t="str">
        <x:v>8 jobs: before v0.5</x:v>
      </x:c>
      <x:c r="B6" s="16" t="n">
        <x:v>11.2829</x:v>
      </x:c>
      <x:c r="C6" s="16" t="n">
        <x:v>12.7369</x:v>
      </x:c>
      <x:c r="D6" s="16" t="n">
        <x:v>0.2073</x:v>
      </x:c>
      <x:c r="E6" s="16" t="n">
        <x:v>49.607</x:v>
      </x:c>
      <x:c r="F6" s="16" t="n">
        <x:v>8</x:v>
      </x:c>
    </x:row>
    <x:row r="7">
      <x:c r="A7" t="str">
        <x:v>8 jobs: after v0.5</x:v>
      </x:c>
      <x:c r="B7" t="n">
        <x:v>4.6745</x:v>
      </x:c>
      <x:c r="C7" t="n">
        <x:v>5.8264</x:v>
      </x:c>
      <x:c r="D7" t="n">
        <x:v>0.211</x:v>
      </x:c>
      <x:c r="E7" t="n">
        <x:v>69.661</x:v>
      </x:c>
      <x:c r="F7" t="n">
        <x:v>8</x:v>
      </x:c>
    </x:row>
    <x:row r="8">
      <x:c r="A8" s="16" t="str">
        <x:v>16 jobs: after v0.5</x:v>
      </x:c>
      <x:c r="B8" s="16" t="n">
        <x:v>13.7397</x:v>
      </x:c>
      <x:c r="C8" s="16" t="n">
        <x:v>15.3572</x:v>
      </x:c>
      <x:c r="D8" s="16" t="n">
        <x:v>0.2132</x:v>
      </x:c>
      <x:c r="E8" s="16" t="n">
        <x:v>75.68</x:v>
      </x:c>
      <x:c r="F8" s="16" t="n">
        <x:v>16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c10da00c3a54461b"/>
</x:worksheet>
</file>